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c5346ceda806cf8/Desktop/loop-drawing-automation/"/>
    </mc:Choice>
  </mc:AlternateContent>
  <xr:revisionPtr revIDLastSave="4" documentId="11_1893176E82F81FB3F841FFFCB1FD1D1DA6D46FA8" xr6:coauthVersionLast="47" xr6:coauthVersionMax="47" xr10:uidLastSave="{B8D9D3A6-D331-4F36-A479-EDEB8B5B0677}"/>
  <bookViews>
    <workbookView xWindow="-110" yWindow="-110" windowWidth="19420" windowHeight="10300" tabRatio="500" xr2:uid="{00000000-000D-0000-FFFF-FFFF00000000}"/>
  </bookViews>
  <sheets>
    <sheet name="LOOP_DAT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3" i="1" l="1"/>
  <c r="L23" i="1"/>
  <c r="K23" i="1"/>
  <c r="J23" i="1"/>
  <c r="M22" i="1"/>
  <c r="L22" i="1"/>
  <c r="K22" i="1"/>
  <c r="J22" i="1"/>
  <c r="M21" i="1"/>
  <c r="L21" i="1"/>
  <c r="K21" i="1"/>
  <c r="J21" i="1"/>
  <c r="M20" i="1"/>
  <c r="L20" i="1"/>
  <c r="K20" i="1"/>
  <c r="J20" i="1"/>
  <c r="M19" i="1"/>
  <c r="L19" i="1"/>
  <c r="K19" i="1"/>
  <c r="J19" i="1"/>
  <c r="M18" i="1"/>
  <c r="L18" i="1"/>
  <c r="K18" i="1"/>
  <c r="J18" i="1"/>
  <c r="M17" i="1"/>
  <c r="L17" i="1"/>
  <c r="K17" i="1"/>
  <c r="J17" i="1"/>
  <c r="M16" i="1"/>
  <c r="L16" i="1"/>
  <c r="K16" i="1"/>
  <c r="J16" i="1"/>
  <c r="M15" i="1"/>
  <c r="L15" i="1"/>
  <c r="K15" i="1"/>
  <c r="J15" i="1"/>
  <c r="M14" i="1"/>
  <c r="L14" i="1"/>
  <c r="K14" i="1"/>
  <c r="J14" i="1"/>
  <c r="M13" i="1"/>
  <c r="L13" i="1"/>
  <c r="K13" i="1"/>
  <c r="J13" i="1"/>
  <c r="M12" i="1"/>
  <c r="L12" i="1"/>
  <c r="K12" i="1"/>
  <c r="J12" i="1"/>
  <c r="M11" i="1"/>
  <c r="L11" i="1"/>
  <c r="K11" i="1"/>
  <c r="J11" i="1"/>
  <c r="M10" i="1"/>
  <c r="L10" i="1"/>
  <c r="K10" i="1"/>
  <c r="J10" i="1"/>
  <c r="M9" i="1"/>
  <c r="L9" i="1"/>
  <c r="K9" i="1"/>
  <c r="J9" i="1"/>
  <c r="M8" i="1"/>
  <c r="L8" i="1"/>
  <c r="K8" i="1"/>
  <c r="J8" i="1"/>
  <c r="M7" i="1"/>
  <c r="L7" i="1"/>
  <c r="K7" i="1"/>
  <c r="J7" i="1"/>
  <c r="M6" i="1"/>
  <c r="L6" i="1"/>
  <c r="K6" i="1"/>
  <c r="J6" i="1"/>
  <c r="M5" i="1"/>
  <c r="L5" i="1"/>
  <c r="K5" i="1"/>
  <c r="J5" i="1"/>
  <c r="M4" i="1"/>
  <c r="L4" i="1"/>
  <c r="K4" i="1"/>
  <c r="J4" i="1"/>
</calcChain>
</file>

<file path=xl/sharedStrings.xml><?xml version="1.0" encoding="utf-8"?>
<sst xmlns="http://schemas.openxmlformats.org/spreadsheetml/2006/main" count="118" uniqueCount="74">
  <si>
    <t>LOOP DATA INPUT — Fill yellow columns only. Auto columns update automatically.</t>
  </si>
  <si>
    <t>v1.4</t>
  </si>
  <si>
    <t>LOOP_TAG</t>
  </si>
  <si>
    <t>SIGNAL_TYPE</t>
  </si>
  <si>
    <t>SERVICE</t>
  </si>
  <si>
    <t>JB_NAME</t>
  </si>
  <si>
    <t>TB_NAME</t>
  </si>
  <si>
    <t>CABLE_NAME</t>
  </si>
  <si>
    <t>CABLE_SPEC</t>
  </si>
  <si>
    <t>DRG_NO</t>
  </si>
  <si>
    <t>REV</t>
  </si>
  <si>
    <t>TB_SEQ</t>
  </si>
  <si>
    <t>FERRULE_W1</t>
  </si>
  <si>
    <t>FERRULE_W2</t>
  </si>
  <si>
    <t>FERRULE_W3</t>
  </si>
  <si>
    <t>e.g. PT-101</t>
  </si>
  <si>
    <t>4-20mA or 3W-RTD</t>
  </si>
  <si>
    <t>e.g. CW Supply Press.</t>
  </si>
  <si>
    <t>e.g. JB-1</t>
  </si>
  <si>
    <t>e.g. TB1</t>
  </si>
  <si>
    <t>e.g. C-PT-101</t>
  </si>
  <si>
    <t>e.g. 1P x 1.5 Sq.mm</t>
  </si>
  <si>
    <t>e.g. LD-PT-101</t>
  </si>
  <si>
    <t>e.g. A0</t>
  </si>
  <si>
    <t>AUTO</t>
  </si>
  <si>
    <t>PT-101</t>
  </si>
  <si>
    <t>4-20mA</t>
  </si>
  <si>
    <t>CW Supply Pressure</t>
  </si>
  <si>
    <t>JB-1</t>
  </si>
  <si>
    <t>TB1</t>
  </si>
  <si>
    <t>C-PT-101</t>
  </si>
  <si>
    <t>1P x 1.5 Sq.mm</t>
  </si>
  <si>
    <t>LD-PT-101</t>
  </si>
  <si>
    <t>A0</t>
  </si>
  <si>
    <t>PT-102</t>
  </si>
  <si>
    <t>CW Return Pressure</t>
  </si>
  <si>
    <t>C-PT-102</t>
  </si>
  <si>
    <t>LD-PT-102</t>
  </si>
  <si>
    <t>PT-103</t>
  </si>
  <si>
    <t>N2 Header Pressure</t>
  </si>
  <si>
    <t>C-PT-103</t>
  </si>
  <si>
    <t>LD-PT-103</t>
  </si>
  <si>
    <t>TT-201</t>
  </si>
  <si>
    <t>Reactor Inlet Temp</t>
  </si>
  <si>
    <t>TB2</t>
  </si>
  <si>
    <t>C-TT-201</t>
  </si>
  <si>
    <t>LD-TT-201</t>
  </si>
  <si>
    <t>TT-202</t>
  </si>
  <si>
    <t>Reactor Outlet Temp</t>
  </si>
  <si>
    <t>C-TT-202</t>
  </si>
  <si>
    <t>LD-TT-202</t>
  </si>
  <si>
    <t>TT-203</t>
  </si>
  <si>
    <t>HX Shell Temp</t>
  </si>
  <si>
    <t>JB-2</t>
  </si>
  <si>
    <t>C-TT-203</t>
  </si>
  <si>
    <t>LD-TT-203</t>
  </si>
  <si>
    <t>TE-301</t>
  </si>
  <si>
    <t>3W-RTD</t>
  </si>
  <si>
    <t>CW Supply Temp RTD</t>
  </si>
  <si>
    <t>C-TE-301</t>
  </si>
  <si>
    <t>1T x 1.5 Sq.mm</t>
  </si>
  <si>
    <t>LD-TE-301</t>
  </si>
  <si>
    <t>TE-302</t>
  </si>
  <si>
    <t>CW Return Temp RTD</t>
  </si>
  <si>
    <t>C-TE-302</t>
  </si>
  <si>
    <t>LD-TE-302</t>
  </si>
  <si>
    <t>TE-303</t>
  </si>
  <si>
    <t>Reactor Bed Temp RTD</t>
  </si>
  <si>
    <t>C-TE-303</t>
  </si>
  <si>
    <t>LD-TE-303</t>
  </si>
  <si>
    <t>TE-304</t>
  </si>
  <si>
    <t>Outlet Temp RTD</t>
  </si>
  <si>
    <t>C-TE-304</t>
  </si>
  <si>
    <t>LD-TE-304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</si>
</sst>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1F4E79"/>
      <name val="Arial"/>
      <charset val="1"/>
    </font>
    <font>
      <b/>
      <sz val="10"/>
      <color rgb="FF7030A0"/>
      <name val="Arial"/>
      <charset val="1"/>
    </font>
    <font>
      <i/>
      <sz val="9"/>
      <color rgb="FF7F7F7F"/>
      <name val="Arial"/>
      <charset val="1"/>
    </font>
    <font>
      <sz val="10"/>
      <name val="Arial"/>
      <charset val="1"/>
    </font>
    <font>
      <sz val="10"/>
      <color rgb="FF7030A0"/>
      <name val="Arial"/>
      <charset val="1"/>
    </font>
    <font>
      <i/>
      <sz val="10"/>
      <color rgb="FF7030A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375A8C"/>
      </patternFill>
    </fill>
    <fill>
      <patternFill patternType="solid">
        <fgColor rgb="FF375A8C"/>
        <bgColor rgb="FF1F4E79"/>
      </patternFill>
    </fill>
    <fill>
      <patternFill patternType="solid">
        <fgColor rgb="FFFFD966"/>
        <bgColor rgb="FFFFCC00"/>
      </patternFill>
    </fill>
    <fill>
      <patternFill patternType="solid">
        <fgColor rgb="FFD9D9D9"/>
        <bgColor rgb="FFEDE8F5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5F0FA"/>
      </patternFill>
    </fill>
    <fill>
      <patternFill patternType="solid">
        <fgColor rgb="FFFFFFFF"/>
        <bgColor rgb="FFF7FBFF"/>
      </patternFill>
    </fill>
    <fill>
      <patternFill patternType="solid">
        <fgColor rgb="FFF5F0FA"/>
        <bgColor rgb="FFF2F2F2"/>
      </patternFill>
    </fill>
    <fill>
      <patternFill patternType="solid">
        <fgColor rgb="FFF7FBFF"/>
        <bgColor rgb="FFFFFFFF"/>
      </patternFill>
    </fill>
    <fill>
      <patternFill patternType="solid">
        <fgColor rgb="FFEDE8F5"/>
        <bgColor rgb="FFF5F0F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medium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7030A0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BFF"/>
      <rgbColor rgb="FFEDE8F5"/>
      <rgbColor rgb="FFF5F0FA"/>
      <rgbColor rgb="FF99CCFF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375A8C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zoomScaleNormal="100" workbookViewId="0">
      <pane ySplit="3" topLeftCell="A4" activePane="bottomLeft" state="frozen"/>
      <selection pane="bottomLeft" activeCell="B5" sqref="B5"/>
    </sheetView>
  </sheetViews>
  <sheetFormatPr defaultColWidth="8.7265625" defaultRowHeight="14.5" x14ac:dyDescent="0.35"/>
  <cols>
    <col min="1" max="1" width="12" customWidth="1"/>
    <col min="2" max="2" width="13" customWidth="1"/>
    <col min="3" max="3" width="22" customWidth="1"/>
    <col min="4" max="4" width="10" customWidth="1"/>
    <col min="5" max="5" width="8" customWidth="1"/>
    <col min="6" max="6" width="14" customWidth="1"/>
    <col min="7" max="7" width="18" customWidth="1"/>
    <col min="8" max="8" width="14" customWidth="1"/>
    <col min="9" max="9" width="7" customWidth="1"/>
    <col min="10" max="10" width="8" customWidth="1"/>
    <col min="11" max="13" width="28" customWidth="1"/>
    <col min="14" max="14" width="6" customWidth="1"/>
  </cols>
  <sheetData>
    <row r="1" spans="1:14" ht="27.75" customHeight="1" x14ac:dyDescent="0.3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" t="s">
        <v>1</v>
      </c>
    </row>
    <row r="2" spans="1:14" ht="21.75" customHeight="1" x14ac:dyDescent="0.3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3" t="s">
        <v>11</v>
      </c>
      <c r="K2" s="3" t="s">
        <v>12</v>
      </c>
      <c r="L2" s="3" t="s">
        <v>13</v>
      </c>
      <c r="M2" s="3" t="s">
        <v>14</v>
      </c>
    </row>
    <row r="3" spans="1:14" ht="15.75" customHeight="1" x14ac:dyDescent="0.35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5" t="s">
        <v>24</v>
      </c>
      <c r="K3" s="5" t="s">
        <v>24</v>
      </c>
      <c r="L3" s="5" t="s">
        <v>24</v>
      </c>
      <c r="M3" s="5" t="s">
        <v>24</v>
      </c>
    </row>
    <row r="4" spans="1:14" ht="19.5" customHeight="1" x14ac:dyDescent="0.35">
      <c r="A4" s="6" t="s">
        <v>25</v>
      </c>
      <c r="B4" s="6" t="s">
        <v>26</v>
      </c>
      <c r="C4" s="6" t="s">
        <v>27</v>
      </c>
      <c r="D4" s="6" t="s">
        <v>28</v>
      </c>
      <c r="E4" s="6" t="s">
        <v>29</v>
      </c>
      <c r="F4" s="6" t="s">
        <v>30</v>
      </c>
      <c r="G4" s="6" t="s">
        <v>31</v>
      </c>
      <c r="H4" s="6" t="s">
        <v>32</v>
      </c>
      <c r="I4" s="6" t="s">
        <v>33</v>
      </c>
      <c r="J4" s="7">
        <f>IF(A4="","",COUNTIFS($D$4:D4,$D4,$E$4:E4,$E4))</f>
        <v>1</v>
      </c>
      <c r="K4" s="7" t="str">
        <f>IF(A4="","",A4&amp;IF(B4="4-20mA","(+)","(1)")&amp;" / "&amp;D4&amp;"-"&amp;E4&amp;"-"&amp;TEXT(0+1,"00"))</f>
        <v>PT-101(+) / JB-1-TB1-01</v>
      </c>
      <c r="L4" s="7" t="str">
        <f>IF(A4="","",A4&amp;IF(B4="4-20mA","(-)","(2)")&amp;" / "&amp;D4&amp;"-"&amp;E4&amp;"-"&amp;TEXT(0+2,"00"))</f>
        <v>PT-101(-) / JB-1-TB1-02</v>
      </c>
      <c r="M4" s="7" t="str">
        <f>IF(A4="","",IF(B4="3W-RTD",A4&amp;"(3) / "&amp;D4&amp;"-"&amp;E4&amp;"-"&amp;TEXT(0+3,"00"),""))</f>
        <v/>
      </c>
    </row>
    <row r="5" spans="1:14" ht="19.5" customHeight="1" x14ac:dyDescent="0.35">
      <c r="A5" s="8" t="s">
        <v>34</v>
      </c>
      <c r="B5" s="8" t="s">
        <v>57</v>
      </c>
      <c r="C5" s="8" t="s">
        <v>35</v>
      </c>
      <c r="D5" s="8" t="s">
        <v>28</v>
      </c>
      <c r="E5" s="8" t="s">
        <v>29</v>
      </c>
      <c r="F5" s="8" t="s">
        <v>36</v>
      </c>
      <c r="G5" s="8" t="s">
        <v>31</v>
      </c>
      <c r="H5" s="8" t="s">
        <v>37</v>
      </c>
      <c r="I5" s="8" t="s">
        <v>33</v>
      </c>
      <c r="J5" s="9">
        <f>IF(A5="","",COUNTIFS($D$4:D5,$D5,$E$4:E5,$E5))</f>
        <v>2</v>
      </c>
      <c r="K5" s="9" t="str">
        <f>IF(A5="","",A5&amp;IF(B5="4-20mA","(+)","(1)")&amp;" / "&amp;D5&amp;"-"&amp;E5&amp;"-"&amp;TEXT((SUMPRODUCT(($D$4:D4=$D5)*($E$4:E4=$E5)*(($B$4:B4="4-20mA")*2+($B$4:B4="3W-RTD")*3)))+1,"00"))</f>
        <v>PT-102(1) / JB-1-TB1-03</v>
      </c>
      <c r="L5" s="9" t="str">
        <f>IF(A5="","",A5&amp;IF(B5="4-20mA","(-)","(2)")&amp;" / "&amp;D5&amp;"-"&amp;E5&amp;"-"&amp;TEXT((SUMPRODUCT(($D$4:D4=$D5)*($E$4:E4=$E5)*(($B$4:B4="4-20mA")*2+($B$4:B4="3W-RTD")*3)))+2,"00"))</f>
        <v>PT-102(2) / JB-1-TB1-04</v>
      </c>
      <c r="M5" s="9" t="str">
        <f>IF(A5="","",IF(B5="3W-RTD",A5&amp;"(3) / "&amp;D5&amp;"-"&amp;E5&amp;"-"&amp;TEXT((SUMPRODUCT(($D$4:D4=$D5)*($E$4:E4=$E5)*(($B$4:B4="4-20mA")*2+($B$4:B4="3W-RTD")*3)))+3,"00"),""))</f>
        <v>PT-102(3) / JB-1-TB1-05</v>
      </c>
    </row>
    <row r="6" spans="1:14" ht="19.5" customHeight="1" x14ac:dyDescent="0.35">
      <c r="A6" s="6" t="s">
        <v>38</v>
      </c>
      <c r="B6" s="6" t="s">
        <v>26</v>
      </c>
      <c r="C6" s="6" t="s">
        <v>39</v>
      </c>
      <c r="D6" s="6" t="s">
        <v>28</v>
      </c>
      <c r="E6" s="6" t="s">
        <v>29</v>
      </c>
      <c r="F6" s="6" t="s">
        <v>40</v>
      </c>
      <c r="G6" s="6" t="s">
        <v>31</v>
      </c>
      <c r="H6" s="6" t="s">
        <v>41</v>
      </c>
      <c r="I6" s="6" t="s">
        <v>33</v>
      </c>
      <c r="J6" s="7">
        <f>IF(A6="","",COUNTIFS($D$4:D6,$D6,$E$4:E6,$E6))</f>
        <v>3</v>
      </c>
      <c r="K6" s="7" t="str">
        <f>IF(A6="","",A6&amp;IF(B6="4-20mA","(+)","(1)")&amp;" / "&amp;D6&amp;"-"&amp;E6&amp;"-"&amp;TEXT((SUMPRODUCT(($D$4:D5=$D6)*($E$4:E5=$E6)*(($B$4:B5="4-20mA")*2+($B$4:B5="3W-RTD")*3)))+1,"00"))</f>
        <v>PT-103(+) / JB-1-TB1-06</v>
      </c>
      <c r="L6" s="7" t="str">
        <f>IF(A6="","",A6&amp;IF(B6="4-20mA","(-)","(2)")&amp;" / "&amp;D6&amp;"-"&amp;E6&amp;"-"&amp;TEXT((SUMPRODUCT(($D$4:D5=$D6)*($E$4:E5=$E6)*(($B$4:B5="4-20mA")*2+($B$4:B5="3W-RTD")*3)))+2,"00"))</f>
        <v>PT-103(-) / JB-1-TB1-07</v>
      </c>
      <c r="M6" s="7" t="str">
        <f>IF(A6="","",IF(B6="3W-RTD",A6&amp;"(3) / "&amp;D6&amp;"-"&amp;E6&amp;"-"&amp;TEXT((SUMPRODUCT(($D$4:D5=$D6)*($E$4:E5=$E6)*(($B$4:B5="4-20mA")*2+($B$4:B5="3W-RTD")*3)))+3,"00"),""))</f>
        <v/>
      </c>
    </row>
    <row r="7" spans="1:14" ht="19.5" customHeight="1" x14ac:dyDescent="0.35">
      <c r="A7" s="8" t="s">
        <v>42</v>
      </c>
      <c r="B7" s="8" t="s">
        <v>26</v>
      </c>
      <c r="C7" s="8" t="s">
        <v>43</v>
      </c>
      <c r="D7" s="8" t="s">
        <v>28</v>
      </c>
      <c r="E7" s="8" t="s">
        <v>44</v>
      </c>
      <c r="F7" s="8" t="s">
        <v>45</v>
      </c>
      <c r="G7" s="8" t="s">
        <v>31</v>
      </c>
      <c r="H7" s="8" t="s">
        <v>46</v>
      </c>
      <c r="I7" s="8" t="s">
        <v>33</v>
      </c>
      <c r="J7" s="9">
        <f>IF(A7="","",COUNTIFS($D$4:D7,$D7,$E$4:E7,$E7))</f>
        <v>1</v>
      </c>
      <c r="K7" s="9" t="str">
        <f>IF(A7="","",A7&amp;IF(B7="4-20mA","(+)","(1)")&amp;" / "&amp;D7&amp;"-"&amp;E7&amp;"-"&amp;TEXT((SUMPRODUCT(($D$4:D6=$D7)*($E$4:E6=$E7)*(($B$4:B6="4-20mA")*2+($B$4:B6="3W-RTD")*3)))+1,"00"))</f>
        <v>TT-201(+) / JB-1-TB2-01</v>
      </c>
      <c r="L7" s="9" t="str">
        <f>IF(A7="","",A7&amp;IF(B7="4-20mA","(-)","(2)")&amp;" / "&amp;D7&amp;"-"&amp;E7&amp;"-"&amp;TEXT((SUMPRODUCT(($D$4:D6=$D7)*($E$4:E6=$E7)*(($B$4:B6="4-20mA")*2+($B$4:B6="3W-RTD")*3)))+2,"00"))</f>
        <v>TT-201(-) / JB-1-TB2-02</v>
      </c>
      <c r="M7" s="9" t="str">
        <f>IF(A7="","",IF(B7="3W-RTD",A7&amp;"(3) / "&amp;D7&amp;"-"&amp;E7&amp;"-"&amp;TEXT((SUMPRODUCT(($D$4:D6=$D7)*($E$4:E6=$E7)*(($B$4:B6="4-20mA")*2+($B$4:B6="3W-RTD")*3)))+3,"00"),""))</f>
        <v/>
      </c>
    </row>
    <row r="8" spans="1:14" ht="19.5" customHeight="1" x14ac:dyDescent="0.35">
      <c r="A8" s="6" t="s">
        <v>47</v>
      </c>
      <c r="B8" s="6" t="s">
        <v>26</v>
      </c>
      <c r="C8" s="6" t="s">
        <v>48</v>
      </c>
      <c r="D8" s="6" t="s">
        <v>28</v>
      </c>
      <c r="E8" s="6" t="s">
        <v>44</v>
      </c>
      <c r="F8" s="6" t="s">
        <v>49</v>
      </c>
      <c r="G8" s="6" t="s">
        <v>31</v>
      </c>
      <c r="H8" s="6" t="s">
        <v>50</v>
      </c>
      <c r="I8" s="6" t="s">
        <v>33</v>
      </c>
      <c r="J8" s="7">
        <f>IF(A8="","",COUNTIFS($D$4:D8,$D8,$E$4:E8,$E8))</f>
        <v>2</v>
      </c>
      <c r="K8" s="7" t="str">
        <f>IF(A8="","",A8&amp;IF(B8="4-20mA","(+)","(1)")&amp;" / "&amp;D8&amp;"-"&amp;E8&amp;"-"&amp;TEXT((SUMPRODUCT(($D$4:D7=$D8)*($E$4:E7=$E8)*(($B$4:B7="4-20mA")*2+($B$4:B7="3W-RTD")*3)))+1,"00"))</f>
        <v>TT-202(+) / JB-1-TB2-03</v>
      </c>
      <c r="L8" s="7" t="str">
        <f>IF(A8="","",A8&amp;IF(B8="4-20mA","(-)","(2)")&amp;" / "&amp;D8&amp;"-"&amp;E8&amp;"-"&amp;TEXT((SUMPRODUCT(($D$4:D7=$D8)*($E$4:E7=$E8)*(($B$4:B7="4-20mA")*2+($B$4:B7="3W-RTD")*3)))+2,"00"))</f>
        <v>TT-202(-) / JB-1-TB2-04</v>
      </c>
      <c r="M8" s="7" t="str">
        <f>IF(A8="","",IF(B8="3W-RTD",A8&amp;"(3) / "&amp;D8&amp;"-"&amp;E8&amp;"-"&amp;TEXT((SUMPRODUCT(($D$4:D7=$D8)*($E$4:E7=$E8)*(($B$4:B7="4-20mA")*2+($B$4:B7="3W-RTD")*3)))+3,"00"),""))</f>
        <v/>
      </c>
    </row>
    <row r="9" spans="1:14" ht="19.5" customHeight="1" x14ac:dyDescent="0.35">
      <c r="A9" s="8" t="s">
        <v>51</v>
      </c>
      <c r="B9" s="8" t="s">
        <v>26</v>
      </c>
      <c r="C9" s="8" t="s">
        <v>52</v>
      </c>
      <c r="D9" s="8" t="s">
        <v>53</v>
      </c>
      <c r="E9" s="8" t="s">
        <v>29</v>
      </c>
      <c r="F9" s="8" t="s">
        <v>54</v>
      </c>
      <c r="G9" s="8" t="s">
        <v>31</v>
      </c>
      <c r="H9" s="8" t="s">
        <v>55</v>
      </c>
      <c r="I9" s="8" t="s">
        <v>33</v>
      </c>
      <c r="J9" s="9">
        <f>IF(A9="","",COUNTIFS($D$4:D9,$D9,$E$4:E9,$E9))</f>
        <v>1</v>
      </c>
      <c r="K9" s="9" t="str">
        <f>IF(A9="","",A9&amp;IF(B9="4-20mA","(+)","(1)")&amp;" / "&amp;D9&amp;"-"&amp;E9&amp;"-"&amp;TEXT((SUMPRODUCT(($D$4:D8=$D9)*($E$4:E8=$E9)*(($B$4:B8="4-20mA")*2+($B$4:B8="3W-RTD")*3)))+1,"00"))</f>
        <v>TT-203(+) / JB-2-TB1-01</v>
      </c>
      <c r="L9" s="9" t="str">
        <f>IF(A9="","",A9&amp;IF(B9="4-20mA","(-)","(2)")&amp;" / "&amp;D9&amp;"-"&amp;E9&amp;"-"&amp;TEXT((SUMPRODUCT(($D$4:D8=$D9)*($E$4:E8=$E9)*(($B$4:B8="4-20mA")*2+($B$4:B8="3W-RTD")*3)))+2,"00"))</f>
        <v>TT-203(-) / JB-2-TB1-02</v>
      </c>
      <c r="M9" s="9" t="str">
        <f>IF(A9="","",IF(B9="3W-RTD",A9&amp;"(3) / "&amp;D9&amp;"-"&amp;E9&amp;"-"&amp;TEXT((SUMPRODUCT(($D$4:D8=$D9)*($E$4:E8=$E9)*(($B$4:B8="4-20mA")*2+($B$4:B8="3W-RTD")*3)))+3,"00"),""))</f>
        <v/>
      </c>
    </row>
    <row r="10" spans="1:14" ht="19.5" customHeight="1" x14ac:dyDescent="0.35">
      <c r="A10" s="6" t="s">
        <v>56</v>
      </c>
      <c r="B10" s="6" t="s">
        <v>57</v>
      </c>
      <c r="C10" s="6" t="s">
        <v>58</v>
      </c>
      <c r="D10" s="6" t="s">
        <v>53</v>
      </c>
      <c r="E10" s="6" t="s">
        <v>44</v>
      </c>
      <c r="F10" s="6" t="s">
        <v>59</v>
      </c>
      <c r="G10" s="6" t="s">
        <v>60</v>
      </c>
      <c r="H10" s="6" t="s">
        <v>61</v>
      </c>
      <c r="I10" s="6" t="s">
        <v>33</v>
      </c>
      <c r="J10" s="7">
        <f>IF(A10="","",COUNTIFS($D$4:D10,$D10,$E$4:E10,$E10))</f>
        <v>1</v>
      </c>
      <c r="K10" s="7" t="str">
        <f>IF(A10="","",A10&amp;IF(B10="4-20mA","(+)","(1)")&amp;" / "&amp;D10&amp;"-"&amp;E10&amp;"-"&amp;TEXT((SUMPRODUCT(($D$4:D9=$D10)*($E$4:E9=$E10)*(($B$4:B9="4-20mA")*2+($B$4:B9="3W-RTD")*3)))+1,"00"))</f>
        <v>TE-301(1) / JB-2-TB2-01</v>
      </c>
      <c r="L10" s="7" t="str">
        <f>IF(A10="","",A10&amp;IF(B10="4-20mA","(-)","(2)")&amp;" / "&amp;D10&amp;"-"&amp;E10&amp;"-"&amp;TEXT((SUMPRODUCT(($D$4:D9=$D10)*($E$4:E9=$E10)*(($B$4:B9="4-20mA")*2+($B$4:B9="3W-RTD")*3)))+2,"00"))</f>
        <v>TE-301(2) / JB-2-TB2-02</v>
      </c>
      <c r="M10" s="7" t="str">
        <f>IF(A10="","",IF(B10="3W-RTD",A10&amp;"(3) / "&amp;D10&amp;"-"&amp;E10&amp;"-"&amp;TEXT((SUMPRODUCT(($D$4:D9=$D10)*($E$4:E9=$E10)*(($B$4:B9="4-20mA")*2+($B$4:B9="3W-RTD")*3)))+3,"00"),""))</f>
        <v>TE-301(3) / JB-2-TB2-03</v>
      </c>
    </row>
    <row r="11" spans="1:14" ht="19.5" customHeight="1" x14ac:dyDescent="0.35">
      <c r="A11" s="8" t="s">
        <v>62</v>
      </c>
      <c r="B11" s="8" t="s">
        <v>57</v>
      </c>
      <c r="C11" s="8" t="s">
        <v>63</v>
      </c>
      <c r="D11" s="8" t="s">
        <v>53</v>
      </c>
      <c r="E11" s="8" t="s">
        <v>44</v>
      </c>
      <c r="F11" s="8" t="s">
        <v>64</v>
      </c>
      <c r="G11" s="8" t="s">
        <v>60</v>
      </c>
      <c r="H11" s="8" t="s">
        <v>65</v>
      </c>
      <c r="I11" s="8" t="s">
        <v>33</v>
      </c>
      <c r="J11" s="9">
        <f>IF(A11="","",COUNTIFS($D$4:D11,$D11,$E$4:E11,$E11))</f>
        <v>2</v>
      </c>
      <c r="K11" s="9" t="str">
        <f>IF(A11="","",A11&amp;IF(B11="4-20mA","(+)","(1)")&amp;" / "&amp;D11&amp;"-"&amp;E11&amp;"-"&amp;TEXT((SUMPRODUCT(($D$4:D10=$D11)*($E$4:E10=$E11)*(($B$4:B10="4-20mA")*2+($B$4:B10="3W-RTD")*3)))+1,"00"))</f>
        <v>TE-302(1) / JB-2-TB2-04</v>
      </c>
      <c r="L11" s="9" t="str">
        <f>IF(A11="","",A11&amp;IF(B11="4-20mA","(-)","(2)")&amp;" / "&amp;D11&amp;"-"&amp;E11&amp;"-"&amp;TEXT((SUMPRODUCT(($D$4:D10=$D11)*($E$4:E10=$E11)*(($B$4:B10="4-20mA")*2+($B$4:B10="3W-RTD")*3)))+2,"00"))</f>
        <v>TE-302(2) / JB-2-TB2-05</v>
      </c>
      <c r="M11" s="9" t="str">
        <f>IF(A11="","",IF(B11="3W-RTD",A11&amp;"(3) / "&amp;D11&amp;"-"&amp;E11&amp;"-"&amp;TEXT((SUMPRODUCT(($D$4:D10=$D11)*($E$4:E10=$E11)*(($B$4:B10="4-20mA")*2+($B$4:B10="3W-RTD")*3)))+3,"00"),""))</f>
        <v>TE-302(3) / JB-2-TB2-06</v>
      </c>
    </row>
    <row r="12" spans="1:14" ht="19.5" customHeight="1" x14ac:dyDescent="0.35">
      <c r="A12" s="6" t="s">
        <v>66</v>
      </c>
      <c r="B12" s="6" t="s">
        <v>57</v>
      </c>
      <c r="C12" s="6" t="s">
        <v>67</v>
      </c>
      <c r="D12" s="6" t="s">
        <v>53</v>
      </c>
      <c r="E12" s="6" t="s">
        <v>44</v>
      </c>
      <c r="F12" s="6" t="s">
        <v>68</v>
      </c>
      <c r="G12" s="6" t="s">
        <v>60</v>
      </c>
      <c r="H12" s="6" t="s">
        <v>69</v>
      </c>
      <c r="I12" s="6" t="s">
        <v>33</v>
      </c>
      <c r="J12" s="7">
        <f>IF(A12="","",COUNTIFS($D$4:D12,$D12,$E$4:E12,$E12))</f>
        <v>3</v>
      </c>
      <c r="K12" s="7" t="str">
        <f>IF(A12="","",A12&amp;IF(B12="4-20mA","(+)","(1)")&amp;" / "&amp;D12&amp;"-"&amp;E12&amp;"-"&amp;TEXT((SUMPRODUCT(($D$4:D11=$D12)*($E$4:E11=$E12)*(($B$4:B11="4-20mA")*2+($B$4:B11="3W-RTD")*3)))+1,"00"))</f>
        <v>TE-303(1) / JB-2-TB2-07</v>
      </c>
      <c r="L12" s="7" t="str">
        <f>IF(A12="","",A12&amp;IF(B12="4-20mA","(-)","(2)")&amp;" / "&amp;D12&amp;"-"&amp;E12&amp;"-"&amp;TEXT((SUMPRODUCT(($D$4:D11=$D12)*($E$4:E11=$E12)*(($B$4:B11="4-20mA")*2+($B$4:B11="3W-RTD")*3)))+2,"00"))</f>
        <v>TE-303(2) / JB-2-TB2-08</v>
      </c>
      <c r="M12" s="7" t="str">
        <f>IF(A12="","",IF(B12="3W-RTD",A12&amp;"(3) / "&amp;D12&amp;"-"&amp;E12&amp;"-"&amp;TEXT((SUMPRODUCT(($D$4:D11=$D12)*($E$4:E11=$E12)*(($B$4:B11="4-20mA")*2+($B$4:B11="3W-RTD")*3)))+3,"00"),""))</f>
        <v>TE-303(3) / JB-2-TB2-09</v>
      </c>
    </row>
    <row r="13" spans="1:14" ht="19.5" customHeight="1" x14ac:dyDescent="0.35">
      <c r="A13" s="8" t="s">
        <v>70</v>
      </c>
      <c r="B13" s="8" t="s">
        <v>57</v>
      </c>
      <c r="C13" s="8" t="s">
        <v>71</v>
      </c>
      <c r="D13" s="8" t="s">
        <v>53</v>
      </c>
      <c r="E13" s="8" t="s">
        <v>44</v>
      </c>
      <c r="F13" s="8" t="s">
        <v>72</v>
      </c>
      <c r="G13" s="8" t="s">
        <v>60</v>
      </c>
      <c r="H13" s="8" t="s">
        <v>73</v>
      </c>
      <c r="I13" s="8" t="s">
        <v>33</v>
      </c>
      <c r="J13" s="9">
        <f>IF(A13="","",COUNTIFS($D$4:D13,$D13,$E$4:E13,$E13))</f>
        <v>4</v>
      </c>
      <c r="K13" s="9" t="str">
        <f>IF(A13="","",A13&amp;IF(B13="4-20mA","(+)","(1)")&amp;" / "&amp;D13&amp;"-"&amp;E13&amp;"-"&amp;TEXT((SUMPRODUCT(($D$4:D12=$D13)*($E$4:E12=$E13)*(($B$4:B12="4-20mA")*2+($B$4:B12="3W-RTD")*3)))+1,"00"))</f>
        <v>TE-304(1) / JB-2-TB2-10</v>
      </c>
      <c r="L13" s="9" t="str">
        <f>IF(A13="","",A13&amp;IF(B13="4-20mA","(-)","(2)")&amp;" / "&amp;D13&amp;"-"&amp;E13&amp;"-"&amp;TEXT((SUMPRODUCT(($D$4:D12=$D13)*($E$4:E12=$E13)*(($B$4:B12="4-20mA")*2+($B$4:B12="3W-RTD")*3)))+2,"00"))</f>
        <v>TE-304(2) / JB-2-TB2-11</v>
      </c>
      <c r="M13" s="9" t="str">
        <f>IF(A13="","",IF(B13="3W-RTD",A13&amp;"(3) / "&amp;D13&amp;"-"&amp;E13&amp;"-"&amp;TEXT((SUMPRODUCT(($D$4:D12=$D13)*($E$4:E12=$E13)*(($B$4:B12="4-20mA")*2+($B$4:B12="3W-RTD")*3)))+3,"00"),""))</f>
        <v>TE-304(3) / JB-2-TB2-12</v>
      </c>
    </row>
    <row r="14" spans="1:14" ht="19.5" customHeight="1" x14ac:dyDescent="0.35">
      <c r="A14" s="6"/>
      <c r="B14" s="6"/>
      <c r="C14" s="6"/>
      <c r="D14" s="6"/>
      <c r="E14" s="6"/>
      <c r="F14" s="6"/>
      <c r="G14" s="6"/>
      <c r="H14" s="6"/>
      <c r="I14" s="6"/>
      <c r="J14" s="10" t="str">
        <f>IF(A14="","",COUNTIFS($D$4:D14,$D14,$E$4:E14,$E14))</f>
        <v/>
      </c>
      <c r="K14" s="10" t="str">
        <f>IF(A14="","",A14&amp;IF(B14="4-20mA","(+)","(1)")&amp;" / "&amp;D14&amp;"-"&amp;E14&amp;"-"&amp;TEXT((SUMPRODUCT(($D$4:D13=$D14)*($E$4:E13=$E14)*(($B$4:B13="4-20mA")*2+($B$4:B13="3W-RTD")*3)))+1,"00"))</f>
        <v/>
      </c>
      <c r="L14" s="10" t="str">
        <f>IF(A14="","",A14&amp;IF(B14="4-20mA","(-)","(2)")&amp;" / "&amp;D14&amp;"-"&amp;E14&amp;"-"&amp;TEXT((SUMPRODUCT(($D$4:D13=$D14)*($E$4:E13=$E14)*(($B$4:B13="4-20mA")*2+($B$4:B13="3W-RTD")*3)))+2,"00"))</f>
        <v/>
      </c>
      <c r="M14" s="10" t="str">
        <f>IF(A14="","",IF(B14="3W-RTD",A14&amp;"(3) / "&amp;D14&amp;"-"&amp;E14&amp;"-"&amp;TEXT((SUMPRODUCT(($D$4:D13=$D14)*($E$4:E13=$E14)*(($B$4:B13="4-20mA")*2+($B$4:B13="3W-RTD")*3)))+3,"00"),""))</f>
        <v/>
      </c>
    </row>
    <row r="15" spans="1:14" ht="19.5" customHeight="1" x14ac:dyDescent="0.35">
      <c r="A15" s="8"/>
      <c r="B15" s="8"/>
      <c r="C15" s="8"/>
      <c r="D15" s="8"/>
      <c r="E15" s="8"/>
      <c r="F15" s="8"/>
      <c r="G15" s="8"/>
      <c r="H15" s="8"/>
      <c r="I15" s="8"/>
      <c r="J15" s="11" t="str">
        <f>IF(A15="","",COUNTIFS($D$4:D15,$D15,$E$4:E15,$E15))</f>
        <v/>
      </c>
      <c r="K15" s="11" t="str">
        <f>IF(A15="","",A15&amp;IF(B15="4-20mA","(+)","(1)")&amp;" / "&amp;D15&amp;"-"&amp;E15&amp;"-"&amp;TEXT((SUMPRODUCT(($D$4:D14=$D15)*($E$4:E14=$E15)*(($B$4:B14="4-20mA")*2+($B$4:B14="3W-RTD")*3)))+1,"00"))</f>
        <v/>
      </c>
      <c r="L15" s="11" t="str">
        <f>IF(A15="","",A15&amp;IF(B15="4-20mA","(-)","(2)")&amp;" / "&amp;D15&amp;"-"&amp;E15&amp;"-"&amp;TEXT((SUMPRODUCT(($D$4:D14=$D15)*($E$4:E14=$E15)*(($B$4:B14="4-20mA")*2+($B$4:B14="3W-RTD")*3)))+2,"00"))</f>
        <v/>
      </c>
      <c r="M15" s="11" t="str">
        <f>IF(A15="","",IF(B15="3W-RTD",A15&amp;"(3) / "&amp;D15&amp;"-"&amp;E15&amp;"-"&amp;TEXT((SUMPRODUCT(($D$4:D14=$D15)*($E$4:E14=$E15)*(($B$4:B14="4-20mA")*2+($B$4:B14="3W-RTD")*3)))+3,"00"),""))</f>
        <v/>
      </c>
    </row>
    <row r="16" spans="1:14" ht="19.5" customHeight="1" x14ac:dyDescent="0.35">
      <c r="A16" s="6"/>
      <c r="B16" s="6"/>
      <c r="C16" s="6"/>
      <c r="D16" s="6"/>
      <c r="E16" s="6"/>
      <c r="F16" s="6"/>
      <c r="G16" s="6"/>
      <c r="H16" s="6"/>
      <c r="I16" s="6"/>
      <c r="J16" s="10" t="str">
        <f>IF(A16="","",COUNTIFS($D$4:D16,$D16,$E$4:E16,$E16))</f>
        <v/>
      </c>
      <c r="K16" s="10" t="str">
        <f>IF(A16="","",A16&amp;IF(B16="4-20mA","(+)","(1)")&amp;" / "&amp;D16&amp;"-"&amp;E16&amp;"-"&amp;TEXT((SUMPRODUCT(($D$4:D15=$D16)*($E$4:E15=$E16)*(($B$4:B15="4-20mA")*2+($B$4:B15="3W-RTD")*3)))+1,"00"))</f>
        <v/>
      </c>
      <c r="L16" s="10" t="str">
        <f>IF(A16="","",A16&amp;IF(B16="4-20mA","(-)","(2)")&amp;" / "&amp;D16&amp;"-"&amp;E16&amp;"-"&amp;TEXT((SUMPRODUCT(($D$4:D15=$D16)*($E$4:E15=$E16)*(($B$4:B15="4-20mA")*2+($B$4:B15="3W-RTD")*3)))+2,"00"))</f>
        <v/>
      </c>
      <c r="M16" s="10" t="str">
        <f>IF(A16="","",IF(B16="3W-RTD",A16&amp;"(3) / "&amp;D16&amp;"-"&amp;E16&amp;"-"&amp;TEXT((SUMPRODUCT(($D$4:D15=$D16)*($E$4:E15=$E16)*(($B$4:B15="4-20mA")*2+($B$4:B15="3W-RTD")*3)))+3,"00"),""))</f>
        <v/>
      </c>
    </row>
    <row r="17" spans="1:13" ht="19.5" customHeight="1" x14ac:dyDescent="0.35">
      <c r="A17" s="8"/>
      <c r="B17" s="8"/>
      <c r="C17" s="8"/>
      <c r="D17" s="8"/>
      <c r="E17" s="8"/>
      <c r="F17" s="8"/>
      <c r="G17" s="8"/>
      <c r="H17" s="8"/>
      <c r="I17" s="8"/>
      <c r="J17" s="11" t="str">
        <f>IF(A17="","",COUNTIFS($D$4:D17,$D17,$E$4:E17,$E17))</f>
        <v/>
      </c>
      <c r="K17" s="11" t="str">
        <f>IF(A17="","",A17&amp;IF(B17="4-20mA","(+)","(1)")&amp;" / "&amp;D17&amp;"-"&amp;E17&amp;"-"&amp;TEXT((SUMPRODUCT(($D$4:D16=$D17)*($E$4:E16=$E17)*(($B$4:B16="4-20mA")*2+($B$4:B16="3W-RTD")*3)))+1,"00"))</f>
        <v/>
      </c>
      <c r="L17" s="11" t="str">
        <f>IF(A17="","",A17&amp;IF(B17="4-20mA","(-)","(2)")&amp;" / "&amp;D17&amp;"-"&amp;E17&amp;"-"&amp;TEXT((SUMPRODUCT(($D$4:D16=$D17)*($E$4:E16=$E17)*(($B$4:B16="4-20mA")*2+($B$4:B16="3W-RTD")*3)))+2,"00"))</f>
        <v/>
      </c>
      <c r="M17" s="11" t="str">
        <f>IF(A17="","",IF(B17="3W-RTD",A17&amp;"(3) / "&amp;D17&amp;"-"&amp;E17&amp;"-"&amp;TEXT((SUMPRODUCT(($D$4:D16=$D17)*($E$4:E16=$E17)*(($B$4:B16="4-20mA")*2+($B$4:B16="3W-RTD")*3)))+3,"00"),""))</f>
        <v/>
      </c>
    </row>
    <row r="18" spans="1:13" ht="19.5" customHeight="1" x14ac:dyDescent="0.35">
      <c r="A18" s="6"/>
      <c r="B18" s="6"/>
      <c r="C18" s="6"/>
      <c r="D18" s="6"/>
      <c r="E18" s="6"/>
      <c r="F18" s="6"/>
      <c r="G18" s="6"/>
      <c r="H18" s="6"/>
      <c r="I18" s="6"/>
      <c r="J18" s="10" t="str">
        <f>IF(A18="","",COUNTIFS($D$4:D18,$D18,$E$4:E18,$E18))</f>
        <v/>
      </c>
      <c r="K18" s="10" t="str">
        <f>IF(A18="","",A18&amp;IF(B18="4-20mA","(+)","(1)")&amp;" / "&amp;D18&amp;"-"&amp;E18&amp;"-"&amp;TEXT((SUMPRODUCT(($D$4:D17=$D18)*($E$4:E17=$E18)*(($B$4:B17="4-20mA")*2+($B$4:B17="3W-RTD")*3)))+1,"00"))</f>
        <v/>
      </c>
      <c r="L18" s="10" t="str">
        <f>IF(A18="","",A18&amp;IF(B18="4-20mA","(-)","(2)")&amp;" / "&amp;D18&amp;"-"&amp;E18&amp;"-"&amp;TEXT((SUMPRODUCT(($D$4:D17=$D18)*($E$4:E17=$E18)*(($B$4:B17="4-20mA")*2+($B$4:B17="3W-RTD")*3)))+2,"00"))</f>
        <v/>
      </c>
      <c r="M18" s="10" t="str">
        <f>IF(A18="","",IF(B18="3W-RTD",A18&amp;"(3) / "&amp;D18&amp;"-"&amp;E18&amp;"-"&amp;TEXT((SUMPRODUCT(($D$4:D17=$D18)*($E$4:E17=$E18)*(($B$4:B17="4-20mA")*2+($B$4:B17="3W-RTD")*3)))+3,"00"),""))</f>
        <v/>
      </c>
    </row>
    <row r="19" spans="1:13" ht="19.5" customHeight="1" x14ac:dyDescent="0.35">
      <c r="A19" s="8"/>
      <c r="B19" s="8"/>
      <c r="C19" s="8"/>
      <c r="D19" s="8"/>
      <c r="E19" s="8"/>
      <c r="F19" s="8"/>
      <c r="G19" s="8"/>
      <c r="H19" s="8"/>
      <c r="I19" s="8"/>
      <c r="J19" s="11" t="str">
        <f>IF(A19="","",COUNTIFS($D$4:D19,$D19,$E$4:E19,$E19))</f>
        <v/>
      </c>
      <c r="K19" s="11" t="str">
        <f>IF(A19="","",A19&amp;IF(B19="4-20mA","(+)","(1)")&amp;" / "&amp;D19&amp;"-"&amp;E19&amp;"-"&amp;TEXT((SUMPRODUCT(($D$4:D18=$D19)*($E$4:E18=$E19)*(($B$4:B18="4-20mA")*2+($B$4:B18="3W-RTD")*3)))+1,"00"))</f>
        <v/>
      </c>
      <c r="L19" s="11" t="str">
        <f>IF(A19="","",A19&amp;IF(B19="4-20mA","(-)","(2)")&amp;" / "&amp;D19&amp;"-"&amp;E19&amp;"-"&amp;TEXT((SUMPRODUCT(($D$4:D18=$D19)*($E$4:E18=$E19)*(($B$4:B18="4-20mA")*2+($B$4:B18="3W-RTD")*3)))+2,"00"))</f>
        <v/>
      </c>
      <c r="M19" s="11" t="str">
        <f>IF(A19="","",IF(B19="3W-RTD",A19&amp;"(3) / "&amp;D19&amp;"-"&amp;E19&amp;"-"&amp;TEXT((SUMPRODUCT(($D$4:D18=$D19)*($E$4:E18=$E19)*(($B$4:B18="4-20mA")*2+($B$4:B18="3W-RTD")*3)))+3,"00"),""))</f>
        <v/>
      </c>
    </row>
    <row r="20" spans="1:13" ht="19.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10" t="str">
        <f>IF(A20="","",COUNTIFS($D$4:D20,$D20,$E$4:E20,$E20))</f>
        <v/>
      </c>
      <c r="K20" s="10" t="str">
        <f>IF(A20="","",A20&amp;IF(B20="4-20mA","(+)","(1)")&amp;" / "&amp;D20&amp;"-"&amp;E20&amp;"-"&amp;TEXT((SUMPRODUCT(($D$4:D19=$D20)*($E$4:E19=$E20)*(($B$4:B19="4-20mA")*2+($B$4:B19="3W-RTD")*3)))+1,"00"))</f>
        <v/>
      </c>
      <c r="L20" s="10" t="str">
        <f>IF(A20="","",A20&amp;IF(B20="4-20mA","(-)","(2)")&amp;" / "&amp;D20&amp;"-"&amp;E20&amp;"-"&amp;TEXT((SUMPRODUCT(($D$4:D19=$D20)*($E$4:E19=$E20)*(($B$4:B19="4-20mA")*2+($B$4:B19="3W-RTD")*3)))+2,"00"))</f>
        <v/>
      </c>
      <c r="M20" s="10" t="str">
        <f>IF(A20="","",IF(B20="3W-RTD",A20&amp;"(3) / "&amp;D20&amp;"-"&amp;E20&amp;"-"&amp;TEXT((SUMPRODUCT(($D$4:D19=$D20)*($E$4:E19=$E20)*(($B$4:B19="4-20mA")*2+($B$4:B19="3W-RTD")*3)))+3,"00"),""))</f>
        <v/>
      </c>
    </row>
    <row r="21" spans="1:13" ht="19.5" customHeight="1" x14ac:dyDescent="0.35">
      <c r="A21" s="8"/>
      <c r="B21" s="8"/>
      <c r="C21" s="8"/>
      <c r="D21" s="8"/>
      <c r="E21" s="8"/>
      <c r="F21" s="8"/>
      <c r="G21" s="8"/>
      <c r="H21" s="8"/>
      <c r="I21" s="8"/>
      <c r="J21" s="11" t="str">
        <f>IF(A21="","",COUNTIFS($D$4:D21,$D21,$E$4:E21,$E21))</f>
        <v/>
      </c>
      <c r="K21" s="11" t="str">
        <f>IF(A21="","",A21&amp;IF(B21="4-20mA","(+)","(1)")&amp;" / "&amp;D21&amp;"-"&amp;E21&amp;"-"&amp;TEXT((SUMPRODUCT(($D$4:D20=$D21)*($E$4:E20=$E21)*(($B$4:B20="4-20mA")*2+($B$4:B20="3W-RTD")*3)))+1,"00"))</f>
        <v/>
      </c>
      <c r="L21" s="11" t="str">
        <f>IF(A21="","",A21&amp;IF(B21="4-20mA","(-)","(2)")&amp;" / "&amp;D21&amp;"-"&amp;E21&amp;"-"&amp;TEXT((SUMPRODUCT(($D$4:D20=$D21)*($E$4:E20=$E21)*(($B$4:B20="4-20mA")*2+($B$4:B20="3W-RTD")*3)))+2,"00"))</f>
        <v/>
      </c>
      <c r="M21" s="11" t="str">
        <f>IF(A21="","",IF(B21="3W-RTD",A21&amp;"(3) / "&amp;D21&amp;"-"&amp;E21&amp;"-"&amp;TEXT((SUMPRODUCT(($D$4:D20=$D21)*($E$4:E20=$E21)*(($B$4:B20="4-20mA")*2+($B$4:B20="3W-RTD")*3)))+3,"00"),""))</f>
        <v/>
      </c>
    </row>
    <row r="22" spans="1:13" ht="19.5" customHeight="1" x14ac:dyDescent="0.35">
      <c r="A22" s="6"/>
      <c r="B22" s="6"/>
      <c r="C22" s="6"/>
      <c r="D22" s="6"/>
      <c r="E22" s="6"/>
      <c r="F22" s="6"/>
      <c r="G22" s="6"/>
      <c r="H22" s="6"/>
      <c r="I22" s="6"/>
      <c r="J22" s="10" t="str">
        <f>IF(A22="","",COUNTIFS($D$4:D22,$D22,$E$4:E22,$E22))</f>
        <v/>
      </c>
      <c r="K22" s="10" t="str">
        <f>IF(A22="","",A22&amp;IF(B22="4-20mA","(+)","(1)")&amp;" / "&amp;D22&amp;"-"&amp;E22&amp;"-"&amp;TEXT((SUMPRODUCT(($D$4:D21=$D22)*($E$4:E21=$E22)*(($B$4:B21="4-20mA")*2+($B$4:B21="3W-RTD")*3)))+1,"00"))</f>
        <v/>
      </c>
      <c r="L22" s="10" t="str">
        <f>IF(A22="","",A22&amp;IF(B22="4-20mA","(-)","(2)")&amp;" / "&amp;D22&amp;"-"&amp;E22&amp;"-"&amp;TEXT((SUMPRODUCT(($D$4:D21=$D22)*($E$4:E21=$E22)*(($B$4:B21="4-20mA")*2+($B$4:B21="3W-RTD")*3)))+2,"00"))</f>
        <v/>
      </c>
      <c r="M22" s="10" t="str">
        <f>IF(A22="","",IF(B22="3W-RTD",A22&amp;"(3) / "&amp;D22&amp;"-"&amp;E22&amp;"-"&amp;TEXT((SUMPRODUCT(($D$4:D21=$D22)*($E$4:E21=$E22)*(($B$4:B21="4-20mA")*2+($B$4:B21="3W-RTD")*3)))+3,"00"),""))</f>
        <v/>
      </c>
    </row>
    <row r="23" spans="1:13" ht="19.5" customHeight="1" x14ac:dyDescent="0.35">
      <c r="A23" s="8"/>
      <c r="B23" s="8"/>
      <c r="C23" s="8"/>
      <c r="D23" s="8"/>
      <c r="E23" s="8"/>
      <c r="F23" s="8"/>
      <c r="G23" s="8"/>
      <c r="H23" s="8"/>
      <c r="I23" s="8"/>
      <c r="J23" s="11" t="str">
        <f>IF(A23="","",COUNTIFS($D$4:D23,$D23,$E$4:E23,$E23))</f>
        <v/>
      </c>
      <c r="K23" s="11" t="str">
        <f>IF(A23="","",A23&amp;IF(B23="4-20mA","(+)","(1)")&amp;" / "&amp;D23&amp;"-"&amp;E23&amp;"-"&amp;TEXT((SUMPRODUCT(($D$4:D22=$D23)*($E$4:E22=$E23)*(($B$4:B22="4-20mA")*2+($B$4:B22="3W-RTD")*3)))+1,"00"))</f>
        <v/>
      </c>
      <c r="L23" s="11" t="str">
        <f>IF(A23="","",A23&amp;IF(B23="4-20mA","(-)","(2)")&amp;" / "&amp;D23&amp;"-"&amp;E23&amp;"-"&amp;TEXT((SUMPRODUCT(($D$4:D22=$D23)*($E$4:E22=$E23)*(($B$4:B22="4-20mA")*2+($B$4:B22="3W-RTD")*3)))+2,"00"))</f>
        <v/>
      </c>
      <c r="M23" s="11" t="str">
        <f>IF(A23="","",IF(B23="3W-RTD",A23&amp;"(3) / "&amp;D23&amp;"-"&amp;E23&amp;"-"&amp;TEXT((SUMPRODUCT(($D$4:D22=$D23)*($E$4:E22=$E23)*(($B$4:B22="4-20mA")*2+($B$4:B22="3W-RTD")*3)))+3,"00"),""))</f>
        <v/>
      </c>
    </row>
  </sheetData>
  <mergeCells count="1">
    <mergeCell ref="A1:M1"/>
  </mergeCells>
  <dataValidations count="1">
    <dataValidation type="list" errorTitle="Invalid signal type" error="Must be: 4-20mA or 3W-RTD" sqref="B4:B1000" xr:uid="{00000000-0002-0000-0000-000000000000}">
      <formula1>"4-20mA,3W-RTD"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Adithyan Kolangaravalappil</cp:lastModifiedBy>
  <cp:revision>0</cp:revision>
  <dcterms:created xsi:type="dcterms:W3CDTF">2026-04-25T21:32:24Z</dcterms:created>
  <dcterms:modified xsi:type="dcterms:W3CDTF">2026-04-26T12:32:27Z</dcterms:modified>
  <dc:language>en-US</dc:language>
</cp:coreProperties>
</file>